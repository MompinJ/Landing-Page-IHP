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A consider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[Red]-&quot;$&quot;#,##0"/>
  </numFmts>
  <fonts count="11">
    <font>
      <name val="Calibri"/>
      <family val="2"/>
      <color theme="1"/>
      <sz val="11"/>
      <scheme val="minor"/>
    </font>
    <font>
      <name val="Calibri"/>
      <b val="1"/>
      <color rgb="00002E6D"/>
      <sz val="18"/>
    </font>
    <font>
      <name val="Calibri"/>
      <i val="1"/>
      <color rgb="0044597D"/>
      <sz val="10"/>
    </font>
    <font>
      <name val="Calibri"/>
      <b val="1"/>
      <color rgb="00FFFFFF"/>
      <sz val="10"/>
    </font>
    <font>
      <name val="Calibri"/>
      <color rgb="00002E6D"/>
      <sz val="10"/>
    </font>
    <font>
      <name val="Calibri"/>
      <b val="1"/>
      <color rgb="00002E6D"/>
      <sz val="10"/>
    </font>
    <font>
      <name val="Calibri"/>
      <b val="1"/>
      <color rgb="00FFFFFF"/>
      <sz val="12"/>
    </font>
    <font>
      <name val="Calibri"/>
      <b val="1"/>
      <color rgb="00002E6D"/>
      <sz val="24"/>
    </font>
    <font>
      <name val="Calibri"/>
      <b val="1"/>
      <color rgb="00FFFFFF"/>
      <sz val="22"/>
    </font>
    <font>
      <name val="Calibri"/>
      <color rgb="00FFFFFF"/>
      <sz val="9"/>
    </font>
    <font>
      <name val="Calibri"/>
      <b val="1"/>
      <color rgb="00002E6D"/>
      <sz val="12"/>
    </font>
  </fonts>
  <fills count="5">
    <fill>
      <patternFill/>
    </fill>
    <fill>
      <patternFill patternType="gray125"/>
    </fill>
    <fill>
      <patternFill patternType="solid">
        <fgColor rgb="00002E6D"/>
      </patternFill>
    </fill>
    <fill>
      <patternFill patternType="solid">
        <fgColor rgb="00F3F7FB"/>
      </patternFill>
    </fill>
    <fill>
      <patternFill patternType="solid">
        <fgColor rgb="00009BDE"/>
      </patternFill>
    </fill>
  </fills>
  <borders count="2">
    <border>
      <left/>
      <right/>
      <top/>
      <bottom/>
      <diagonal/>
    </border>
    <border>
      <left style="thin">
        <color rgb="00D8E3EF"/>
      </left>
      <right style="thin">
        <color rgb="00D8E3EF"/>
      </right>
      <top style="thin">
        <color rgb="00D8E3EF"/>
      </top>
      <bottom style="thin">
        <color rgb="00D8E3E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164" fontId="8" fillId="4" borderId="0" applyAlignment="1" pivotButton="0" quotePrefix="0" xfId="0">
      <alignment horizontal="left" vertical="center" indent="1"/>
    </xf>
    <xf numFmtId="164" fontId="8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top" wrapText="1" indent="1"/>
    </xf>
    <xf numFmtId="0" fontId="9" fillId="2" borderId="0" applyAlignment="1" pivotButton="0" quotePrefix="0" xfId="0">
      <alignment horizontal="left" vertical="top" wrapText="1" indent="1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164" fontId="6" fillId="4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164" fontId="5" fillId="3" borderId="1" applyAlignment="1" pivotButton="0" quotePrefix="0" xfId="0">
      <alignment horizontal="right" vertical="center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34" customWidth="1" min="4" max="4"/>
    <col width="16" customWidth="1" min="5" max="5"/>
  </cols>
  <sheetData>
    <row r="2">
      <c r="B2" s="1" t="inlineStr">
        <is>
          <t>HUB Digital IHP</t>
        </is>
      </c>
    </row>
    <row r="3">
      <c r="B3" s="2" t="inlineStr">
        <is>
          <t>Costos de infraestructura en la nube (Azure) - resumen ejecutivo</t>
        </is>
      </c>
    </row>
    <row r="4">
      <c r="B4" s="3" t="inlineStr">
        <is>
          <t>Region: Mexico Central   |   Moneda: USD   |   Precios base de lista (sin IVA)</t>
        </is>
      </c>
    </row>
    <row r="6" ht="20" customHeight="1">
      <c r="B6" s="4" t="inlineStr">
        <is>
          <t>VERSION DE AHORRO  (1 local)</t>
        </is>
      </c>
      <c r="C6" s="5" t="n"/>
      <c r="D6" s="6" t="inlineStr">
        <is>
          <t>CONFIGURACION NORMAL  (2 locales)</t>
        </is>
      </c>
      <c r="E6" s="7" t="n"/>
    </row>
    <row r="7" ht="40" customHeight="1">
      <c r="B7" s="8">
        <f>Servicios!H15</f>
        <v/>
      </c>
      <c r="C7" s="5" t="n"/>
      <c r="D7" s="9">
        <f>Servicios!J15</f>
        <v/>
      </c>
      <c r="E7" s="7" t="n"/>
    </row>
    <row r="8" ht="40" customHeight="1">
      <c r="B8" s="10" t="inlineStr">
        <is>
          <t>Lo minimo para operar: un solo App Service compartido. Asi se arranca pagando menos.</t>
        </is>
      </c>
      <c r="C8" s="5" t="n"/>
      <c r="D8" s="11" t="inlineStr">
        <is>
          <t>La que normalmente se cotiza: recepcion en su propio local. Mas estable y segura.</t>
        </is>
      </c>
      <c r="E8" s="7" t="n"/>
    </row>
    <row r="10">
      <c r="B10" s="12" t="inlineStr">
        <is>
          <t>Diferencia = el 2o local (App Service)</t>
        </is>
      </c>
      <c r="C10" s="13">
        <f>Servicios!J15-Servicios!H15</f>
        <v/>
      </c>
    </row>
    <row r="12">
      <c r="B12" s="14" t="inlineStr">
        <is>
          <t>Desglose (configuracion normal, 2 locales)</t>
        </is>
      </c>
    </row>
    <row r="13">
      <c r="B13" s="15" t="inlineStr">
        <is>
          <t>Servicio</t>
        </is>
      </c>
      <c r="C13" s="16" t="inlineStr">
        <is>
          <t>USD/mes</t>
        </is>
      </c>
    </row>
    <row r="14">
      <c r="B14" s="17">
        <f>Servicios!B5</f>
        <v/>
      </c>
      <c r="C14" s="18">
        <f>Servicios!J5</f>
        <v/>
      </c>
    </row>
    <row r="15">
      <c r="B15" s="19">
        <f>Servicios!B6</f>
        <v/>
      </c>
      <c r="C15" s="20">
        <f>Servicios!J6</f>
        <v/>
      </c>
    </row>
    <row r="16">
      <c r="B16" s="17">
        <f>Servicios!B7</f>
        <v/>
      </c>
      <c r="C16" s="18">
        <f>Servicios!J7</f>
        <v/>
      </c>
    </row>
    <row r="17">
      <c r="B17" s="19">
        <f>Servicios!B8</f>
        <v/>
      </c>
      <c r="C17" s="20">
        <f>Servicios!J8</f>
        <v/>
      </c>
    </row>
    <row r="18">
      <c r="B18" s="17">
        <f>Servicios!B9</f>
        <v/>
      </c>
      <c r="C18" s="18">
        <f>Servicios!J9</f>
        <v/>
      </c>
    </row>
    <row r="19">
      <c r="B19" s="19">
        <f>Servicios!B10</f>
        <v/>
      </c>
      <c r="C19" s="20">
        <f>Servicios!J10</f>
        <v/>
      </c>
    </row>
    <row r="20">
      <c r="B20" s="17">
        <f>Servicios!B11</f>
        <v/>
      </c>
      <c r="C20" s="18">
        <f>Servicios!J11</f>
        <v/>
      </c>
    </row>
    <row r="21">
      <c r="B21" s="19">
        <f>Servicios!B12</f>
        <v/>
      </c>
      <c r="C21" s="20">
        <f>Servicios!J12</f>
        <v/>
      </c>
    </row>
    <row r="22">
      <c r="B22" s="17">
        <f>Servicios!B13</f>
        <v/>
      </c>
      <c r="C22" s="18">
        <f>Servicios!J13</f>
        <v/>
      </c>
    </row>
    <row r="23">
      <c r="B23" s="19">
        <f>Servicios!B14</f>
        <v/>
      </c>
      <c r="C23" s="20">
        <f>Servicios!J14</f>
        <v/>
      </c>
    </row>
    <row r="24">
      <c r="B24" s="21" t="inlineStr">
        <is>
          <t>TOTAL normal</t>
        </is>
      </c>
      <c r="C24" s="22">
        <f>Servicios!J15</f>
        <v/>
      </c>
    </row>
    <row r="26">
      <c r="B26" s="2" t="inlineStr">
        <is>
          <t>Nota: precios base. Con trafico real (visitas, descargas, monitoreo) la factura sube. Ver hoja 'A considerar'.</t>
        </is>
      </c>
    </row>
  </sheetData>
  <mergeCells count="7">
    <mergeCell ref="D8:E8"/>
    <mergeCell ref="D6:E6"/>
    <mergeCell ref="B6:C6"/>
    <mergeCell ref="D7:E7"/>
    <mergeCell ref="B7:C7"/>
    <mergeCell ref="B26:D2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30" customWidth="1" min="4" max="4"/>
    <col width="26" customWidth="1" min="5" max="5"/>
    <col width="11" customWidth="1" min="6" max="6"/>
    <col width="7" customWidth="1" min="7" max="7"/>
    <col width="11" customWidth="1" min="8" max="8"/>
    <col width="8" customWidth="1" min="9" max="9"/>
    <col width="11" customWidth="1" min="10" max="10"/>
    <col width="14" customWidth="1" min="11" max="11"/>
    <col width="40" customWidth="1" min="12" max="12"/>
  </cols>
  <sheetData>
    <row r="1">
      <c r="A1" s="23" t="inlineStr">
        <is>
          <t>HUB Digital IHP - Que rentamos en la nube (Azure)</t>
        </is>
      </c>
    </row>
    <row r="2">
      <c r="A2" s="2" t="inlineStr">
        <is>
          <t>Precios base aproximados de lista, USD/mes, region Mexico Central. Editables: cambia la columna 'Precio unit.' y los totales se recalculan.</t>
        </is>
      </c>
    </row>
    <row r="4">
      <c r="A4" s="24" t="inlineStr">
        <is>
          <t>#</t>
        </is>
      </c>
      <c r="B4" s="24" t="inlineStr">
        <is>
          <t>Servicio (en simple)</t>
        </is>
      </c>
      <c r="C4" s="24" t="inlineStr">
        <is>
          <t>Producto Azure</t>
        </is>
      </c>
      <c r="D4" s="24" t="inlineStr">
        <is>
          <t>Para que sirve</t>
        </is>
      </c>
      <c r="E4" s="24" t="inlineStr">
        <is>
          <t>Que rentamos (config minima)</t>
        </is>
      </c>
      <c r="F4" s="24" t="inlineStr">
        <is>
          <t>Precio unit.
(USD/mes)</t>
        </is>
      </c>
      <c r="G4" s="24" t="inlineStr">
        <is>
          <t>Cant.
1 local</t>
        </is>
      </c>
      <c r="H4" s="24" t="inlineStr">
        <is>
          <t>Subtotal
ahorro</t>
        </is>
      </c>
      <c r="I4" s="24" t="inlineStr">
        <is>
          <t>Cant.
2 locales</t>
        </is>
      </c>
      <c r="J4" s="24" t="inlineStr">
        <is>
          <t>Subtotal
normal</t>
        </is>
      </c>
      <c r="K4" s="24" t="inlineStr">
        <is>
          <t>Como se paga</t>
        </is>
      </c>
      <c r="L4" s="24" t="inlineStr">
        <is>
          <t>A considerar</t>
        </is>
      </c>
    </row>
    <row r="5" ht="46" customHeight="1">
      <c r="A5" s="25" t="n">
        <v>1</v>
      </c>
      <c r="B5" s="26" t="inlineStr">
        <is>
          <t>El local de las apps</t>
        </is>
      </c>
      <c r="C5" s="27" t="inlineStr">
        <is>
          <t>Azure App Service (Plan P1v3 Linux)</t>
        </is>
      </c>
      <c r="D5" s="27" t="inlineStr">
        <is>
          <t>Mantiene encendidos los programas (recepcion y 3 areas) las 24 horas.</t>
        </is>
      </c>
      <c r="E5" s="27" t="inlineStr">
        <is>
          <t>1 plan al inicio; 2 recomendado (recepcion aparte)</t>
        </is>
      </c>
      <c r="F5" s="20" t="n">
        <v>120</v>
      </c>
      <c r="G5" s="25" t="n">
        <v>1</v>
      </c>
      <c r="H5" s="28">
        <f>F5*G5</f>
        <v/>
      </c>
      <c r="I5" s="25" t="n">
        <v>2</v>
      </c>
      <c r="J5" s="28">
        <f>F5*I5</f>
        <v/>
      </c>
      <c r="K5" s="27" t="inlineStr">
        <is>
          <t>Fijo mensual</t>
        </is>
      </c>
      <c r="L5" s="27" t="inlineStr">
        <is>
          <t>Pieza mas cara. Es el minimo que soporta red privada (no baja de P1v3). Se puede reservar 1-3 anos (-30% a -55%). El 2o local es el salto de costo mas grande.</t>
        </is>
      </c>
    </row>
    <row r="6" ht="46" customHeight="1">
      <c r="A6" s="29" t="n">
        <v>2</v>
      </c>
      <c r="B6" s="30" t="inlineStr">
        <is>
          <t>Memoria rapida</t>
        </is>
      </c>
      <c r="C6" s="31" t="inlineStr">
        <is>
          <t>Azure Cache for Redis (Standard C1, 1 GB)</t>
        </is>
      </c>
      <c r="D6" s="31" t="inlineStr">
        <is>
          <t>Acelera la plataforma y guarda las sesiones de usuario.</t>
        </is>
      </c>
      <c r="E6" s="31" t="inlineStr">
        <is>
          <t>Standard C1 (con replica de respaldo)</t>
        </is>
      </c>
      <c r="F6" s="18" t="n">
        <v>100</v>
      </c>
      <c r="G6" s="29" t="n">
        <v>1</v>
      </c>
      <c r="H6" s="32">
        <f>F6*G6</f>
        <v/>
      </c>
      <c r="I6" s="29" t="n">
        <v>1</v>
      </c>
      <c r="J6" s="32">
        <f>F6*I6</f>
        <v/>
      </c>
      <c r="K6" s="31" t="inlineStr">
        <is>
          <t>Fijo mensual</t>
        </is>
      </c>
      <c r="L6" s="31" t="inlineStr">
        <is>
          <t>2a mas cara. Standard incluye replica y garantia (SLA). Existe Basic C1 (~$40) sin respaldo si se busca ahorrar.</t>
        </is>
      </c>
    </row>
    <row r="7" ht="46" customHeight="1">
      <c r="A7" s="25" t="n">
        <v>3</v>
      </c>
      <c r="B7" s="26" t="inlineStr">
        <is>
          <t>La entrada</t>
        </is>
      </c>
      <c r="C7" s="27" t="inlineStr">
        <is>
          <t>Azure Front Door (Standard)</t>
        </is>
      </c>
      <c r="D7" s="27" t="inlineStr">
        <is>
          <t>Puerta unica al publico: filtra, protege y acelera las visitas.</t>
        </is>
      </c>
      <c r="E7" s="27" t="inlineStr">
        <is>
          <t>Plan Standard</t>
        </is>
      </c>
      <c r="F7" s="20" t="n">
        <v>35</v>
      </c>
      <c r="G7" s="25" t="n">
        <v>1</v>
      </c>
      <c r="H7" s="28">
        <f>F7*G7</f>
        <v/>
      </c>
      <c r="I7" s="25" t="n">
        <v>1</v>
      </c>
      <c r="J7" s="28">
        <f>F7*I7</f>
        <v/>
      </c>
      <c r="K7" s="27" t="inlineStr">
        <is>
          <t>Base + uso</t>
        </is>
      </c>
      <c r="L7" s="27" t="inlineStr">
        <is>
          <t>Cobra base mensual + visitas + datos transferidos. Premium (con firewall WAF) cuesta desde ~$300/mes.</t>
        </is>
      </c>
    </row>
    <row r="8" ht="46" customHeight="1">
      <c r="A8" s="29" t="n">
        <v>4</v>
      </c>
      <c r="B8" s="30" t="inlineStr">
        <is>
          <t>El archivero</t>
        </is>
      </c>
      <c r="C8" s="31" t="inlineStr">
        <is>
          <t>Azure Database for PostgreSQL (Flexible B1ms)</t>
        </is>
      </c>
      <c r="D8" s="31" t="inlineStr">
        <is>
          <t>Guarda de forma permanente usuarios, cursos, publicaciones y reportes.</t>
        </is>
      </c>
      <c r="E8" s="31" t="inlineStr">
        <is>
          <t>Tamano economico (Burstable) + 32 GB</t>
        </is>
      </c>
      <c r="F8" s="18" t="n">
        <v>15</v>
      </c>
      <c r="G8" s="29" t="n">
        <v>1</v>
      </c>
      <c r="H8" s="32">
        <f>F8*G8</f>
        <v/>
      </c>
      <c r="I8" s="29" t="n">
        <v>1</v>
      </c>
      <c r="J8" s="32">
        <f>F8*I8</f>
        <v/>
      </c>
      <c r="K8" s="31" t="inlineStr">
        <is>
          <t>Base + almacen</t>
        </is>
      </c>
      <c r="L8" s="31" t="inlineStr">
        <is>
          <t>Compute ~$12 + 32 GB de espacio. Respaldo de 7 dias incluido. Sube si se agranda el servidor o el espacio.</t>
        </is>
      </c>
    </row>
    <row r="9" ht="46" customHeight="1">
      <c r="A9" s="25" t="n">
        <v>5</v>
      </c>
      <c r="B9" s="26" t="inlineStr">
        <is>
          <t>El sitio web</t>
        </is>
      </c>
      <c r="C9" s="27" t="inlineStr">
        <is>
          <t>Azure Static Web Apps (Standard)</t>
        </is>
      </c>
      <c r="D9" s="27" t="inlineStr">
        <is>
          <t>La cara visible: pantallas y botones que usa la gente.</t>
        </is>
      </c>
      <c r="E9" s="27" t="inlineStr">
        <is>
          <t>Plan Standard (dominio propio + HTTPS)</t>
        </is>
      </c>
      <c r="F9" s="20" t="n">
        <v>9</v>
      </c>
      <c r="G9" s="25" t="n">
        <v>1</v>
      </c>
      <c r="H9" s="28">
        <f>F9*G9</f>
        <v/>
      </c>
      <c r="I9" s="25" t="n">
        <v>1</v>
      </c>
      <c r="J9" s="28">
        <f>F9*I9</f>
        <v/>
      </c>
      <c r="K9" s="27" t="inlineStr">
        <is>
          <t>Fijo mensual</t>
        </is>
      </c>
      <c r="L9" s="27" t="inlineStr">
        <is>
          <t>Se cobra por aplicacion. Incluye certificado de seguridad (HTTPS) sin costo extra.</t>
        </is>
      </c>
    </row>
    <row r="10" ht="46" customHeight="1">
      <c r="A10" s="29" t="n">
        <v>6</v>
      </c>
      <c r="B10" s="30" t="inlineStr">
        <is>
          <t>La bodega de archivos</t>
        </is>
      </c>
      <c r="C10" s="31" t="inlineStr">
        <is>
          <t>Azure Storage (Standard LRS)</t>
        </is>
      </c>
      <c r="D10" s="31" t="inlineStr">
        <is>
          <t>Guarda fotos, videos y documentos que sube la gente.</t>
        </is>
      </c>
      <c r="E10" s="31" t="inlineStr">
        <is>
          <t>Almacenamiento estandar</t>
        </is>
      </c>
      <c r="F10" s="18" t="n">
        <v>5</v>
      </c>
      <c r="G10" s="29" t="n">
        <v>1</v>
      </c>
      <c r="H10" s="32">
        <f>F10*G10</f>
        <v/>
      </c>
      <c r="I10" s="29" t="n">
        <v>1</v>
      </c>
      <c r="J10" s="32">
        <f>F10*I10</f>
        <v/>
      </c>
      <c r="K10" s="31" t="inlineStr">
        <is>
          <t>Por uso</t>
        </is>
      </c>
      <c r="L10" s="31" t="inlineStr">
        <is>
          <t>Se paga por GB y por operaciones. Arranca barato y sube con cuanto suba la gente.</t>
        </is>
      </c>
    </row>
    <row r="11" ht="46" customHeight="1">
      <c r="A11" s="25" t="n">
        <v>7</v>
      </c>
      <c r="B11" s="26" t="inlineStr">
        <is>
          <t>Cajas de instalacion</t>
        </is>
      </c>
      <c r="C11" s="27" t="inlineStr">
        <is>
          <t>Azure Container Registry (Basic)</t>
        </is>
      </c>
      <c r="D11" s="27" t="inlineStr">
        <is>
          <t>Guarda las versiones listas de cada programa para instalarlas igual siempre.</t>
        </is>
      </c>
      <c r="E11" s="27" t="inlineStr">
        <is>
          <t>Plan Basic</t>
        </is>
      </c>
      <c r="F11" s="20" t="n">
        <v>5</v>
      </c>
      <c r="G11" s="25" t="n">
        <v>1</v>
      </c>
      <c r="H11" s="28">
        <f>F11*G11</f>
        <v/>
      </c>
      <c r="I11" s="25" t="n">
        <v>1</v>
      </c>
      <c r="J11" s="28">
        <f>F11*I11</f>
        <v/>
      </c>
      <c r="K11" s="27" t="inlineStr">
        <is>
          <t>Fijo mensual</t>
        </is>
      </c>
      <c r="L11" s="27" t="inlineStr">
        <is>
          <t>Basic alcanza al inicio. Premium solo si se exige red privada del registro.</t>
        </is>
      </c>
    </row>
    <row r="12" ht="46" customHeight="1">
      <c r="A12" s="29" t="n">
        <v>8</v>
      </c>
      <c r="B12" s="30" t="inlineStr">
        <is>
          <t>Caja fuerte de claves</t>
        </is>
      </c>
      <c r="C12" s="31" t="inlineStr">
        <is>
          <t>Azure Key Vault (Standard)</t>
        </is>
      </c>
      <c r="D12" s="31" t="inlineStr">
        <is>
          <t>Resguarda contrasenas y llaves; nadie las escribe en el codigo.</t>
        </is>
      </c>
      <c r="E12" s="31" t="inlineStr">
        <is>
          <t>Estandar (por operacion)</t>
        </is>
      </c>
      <c r="F12" s="18" t="n">
        <v>1</v>
      </c>
      <c r="G12" s="29" t="n">
        <v>1</v>
      </c>
      <c r="H12" s="32">
        <f>F12*G12</f>
        <v/>
      </c>
      <c r="I12" s="29" t="n">
        <v>1</v>
      </c>
      <c r="J12" s="32">
        <f>F12*I12</f>
        <v/>
      </c>
      <c r="K12" s="31" t="inlineStr">
        <is>
          <t>Por uso</t>
        </is>
      </c>
      <c r="L12" s="31" t="inlineStr">
        <is>
          <t>Costo casi nulo: se cobra por operacion (centavos).</t>
        </is>
      </c>
    </row>
    <row r="13" ht="46" customHeight="1">
      <c r="A13" s="25" t="n">
        <v>9</v>
      </c>
      <c r="B13" s="26" t="inlineStr">
        <is>
          <t>Camaras y monitoreo</t>
        </is>
      </c>
      <c r="C13" s="27" t="inlineStr">
        <is>
          <t>App Insights + Log Analytics</t>
        </is>
      </c>
      <c r="D13" s="27" t="inlineStr">
        <is>
          <t>Vigilan que todo funcione y avisan si algo falla.</t>
        </is>
      </c>
      <c r="E13" s="27" t="inlineStr">
        <is>
          <t>Por GB de registros</t>
        </is>
      </c>
      <c r="F13" s="20" t="n">
        <v>5</v>
      </c>
      <c r="G13" s="25" t="n">
        <v>1</v>
      </c>
      <c r="H13" s="28">
        <f>F13*G13</f>
        <v/>
      </c>
      <c r="I13" s="25" t="n">
        <v>1</v>
      </c>
      <c r="J13" s="28">
        <f>F13*I13</f>
        <v/>
      </c>
      <c r="K13" s="27" t="inlineStr">
        <is>
          <t>Por uso</t>
        </is>
      </c>
      <c r="L13" s="27" t="inlineStr">
        <is>
          <t>Se paga por GB de logs ingeridos. Sube con el trafico y el nivel de diagnostico.</t>
        </is>
      </c>
    </row>
    <row r="14" ht="46" customHeight="1">
      <c r="A14" s="29" t="n">
        <v>10</v>
      </c>
      <c r="B14" s="30" t="inlineStr">
        <is>
          <t>Pasillos privados e identidades</t>
        </is>
      </c>
      <c r="C14" s="31" t="inlineStr">
        <is>
          <t>VNet + Managed Identity + DNS privado</t>
        </is>
      </c>
      <c r="D14" s="31" t="inlineStr">
        <is>
          <t>Comunican las areas por dentro, de forma cerrada y segura.</t>
        </is>
      </c>
      <c r="E14" s="31" t="inlineStr">
        <is>
          <t>Incluido en el diseno</t>
        </is>
      </c>
      <c r="F14" s="18" t="n">
        <v>0</v>
      </c>
      <c r="G14" s="29" t="n">
        <v>1</v>
      </c>
      <c r="H14" s="32">
        <f>F14*G14</f>
        <v/>
      </c>
      <c r="I14" s="29" t="n">
        <v>1</v>
      </c>
      <c r="J14" s="32">
        <f>F14*I14</f>
        <v/>
      </c>
      <c r="K14" s="31" t="inlineStr">
        <is>
          <t>Incluido</t>
        </is>
      </c>
      <c r="L14" s="31" t="inlineStr">
        <is>
          <t>La red y las identidades no tienen costo. El DNS privado son centavos. En modo 'max' se agregan Private Endpoints (~$7/mes c/u).</t>
        </is>
      </c>
    </row>
    <row r="15" ht="24" customHeight="1">
      <c r="A15" s="33" t="n"/>
      <c r="B15" s="34" t="inlineStr">
        <is>
          <t>TOTAL  (USD/mes)</t>
        </is>
      </c>
      <c r="C15" s="33" t="n"/>
      <c r="D15" s="33" t="n"/>
      <c r="E15" s="33" t="n"/>
      <c r="F15" s="33" t="n"/>
      <c r="G15" s="33" t="n"/>
      <c r="H15" s="22">
        <f>SUM(H5:H14)</f>
        <v/>
      </c>
      <c r="I15" s="33" t="n"/>
      <c r="J15" s="22">
        <f>SUM(J5:J14)</f>
        <v/>
      </c>
      <c r="K15" s="33" t="n"/>
      <c r="L15" s="33" t="n"/>
    </row>
    <row r="17">
      <c r="B17" s="2" t="inlineStr">
        <is>
          <t>Version de ahorro = 1 local (App Service).  Configuracion normal = 2 locales (la que normalmente se cotiza).</t>
        </is>
      </c>
    </row>
  </sheetData>
  <mergeCells count="3">
    <mergeCell ref="A2:L2"/>
    <mergeCell ref="B17:L17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0" customWidth="1" min="3" max="3"/>
  </cols>
  <sheetData>
    <row r="2">
      <c r="B2" s="23" t="inlineStr">
        <is>
          <t>Cosas a considerar antes de contratar</t>
        </is>
      </c>
    </row>
    <row r="3">
      <c r="B3" s="2" t="inlineStr">
        <is>
          <t>Lo que puede mover el costo hacia arriba o abajo respecto a las cifras base.</t>
        </is>
      </c>
    </row>
    <row r="5">
      <c r="B5" s="15" t="inlineStr">
        <is>
          <t>Tema</t>
        </is>
      </c>
      <c r="C5" s="15" t="inlineStr">
        <is>
          <t>Que tener en cuenta</t>
        </is>
      </c>
    </row>
    <row r="6" ht="32" customHeight="1">
      <c r="B6" s="35" t="inlineStr">
        <is>
          <t>1 local vs 2 locales</t>
        </is>
      </c>
      <c r="C6" s="27" t="inlineStr">
        <is>
          <t>El salto mas grande de costo. 1 local (~ahorro) comparte todo; 2 locales (~normal) separa la recepcion. Es +1 App Service (~$120/mes).</t>
        </is>
      </c>
    </row>
    <row r="7" ht="32" customHeight="1">
      <c r="B7" s="36" t="inlineStr">
        <is>
          <t>Son precios base, no la factura</t>
        </is>
      </c>
      <c r="C7" s="31" t="inlineStr">
        <is>
          <t>Las cifras son el piso de lista. La factura real sube con el uso: visitas, descargas, logs y transferencia de datos.</t>
        </is>
      </c>
    </row>
    <row r="8" ht="32" customHeight="1">
      <c r="B8" s="35" t="inlineStr">
        <is>
          <t>Transferencia de datos (egress)</t>
        </is>
      </c>
      <c r="C8" s="27" t="inlineStr">
        <is>
          <t>Sacar datos de Azure hacia internet se cobra. Con poco trafico es bajo; con video/descargas masivas crece.</t>
        </is>
      </c>
    </row>
    <row r="9" ht="32" customHeight="1">
      <c r="B9" s="36" t="inlineStr">
        <is>
          <t>Monitoreo (logs)</t>
        </is>
      </c>
      <c r="C9" s="31" t="inlineStr">
        <is>
          <t>App Insights y Log Analytics cobran por GB de registros. A mas trafico o mas detalle de diagnostico, mas costo.</t>
        </is>
      </c>
    </row>
    <row r="10" ht="32" customHeight="1">
      <c r="B10" s="35" t="inlineStr">
        <is>
          <t>Almacenamiento que crece</t>
        </is>
      </c>
      <c r="C10" s="27" t="inlineStr">
        <is>
          <t>Storage y la base de datos crecen con el uso (fotos, videos, expedientes). Se paga por lo que se ocupa.</t>
        </is>
      </c>
    </row>
    <row r="11" ht="32" customHeight="1">
      <c r="B11" s="36" t="inlineStr">
        <is>
          <t>Redis: Standard vs Basic</t>
        </is>
      </c>
      <c r="C11" s="31" t="inlineStr">
        <is>
          <t>Standard C1 (~$100) trae replica y garantia (SLA). Basic C1 (~$40) es mas barato pero sin respaldo: si se reinicia, se pierde la cache.</t>
        </is>
      </c>
    </row>
    <row r="12" ht="32" customHeight="1">
      <c r="B12" s="35" t="inlineStr">
        <is>
          <t>Descuentos por reserva</t>
        </is>
      </c>
      <c r="C12" s="27" t="inlineStr">
        <is>
          <t>Comprometer 1 o 3 anos en App Service baja el costo hasta 30%-55%. Util cuando el uso ya es estable.</t>
        </is>
      </c>
    </row>
    <row r="13" ht="32" customHeight="1">
      <c r="B13" s="36" t="inlineStr">
        <is>
          <t>Precios Dev/Test</t>
        </is>
      </c>
      <c r="C13" s="31" t="inlineStr">
        <is>
          <t>Entornos de prueba pueden usar tarifas Dev/Test mas baratas (no para produccion).</t>
        </is>
      </c>
    </row>
    <row r="14" ht="32" customHeight="1">
      <c r="B14" s="35" t="inlineStr">
        <is>
          <t>Front Door: base + uso</t>
        </is>
      </c>
      <c r="C14" s="27" t="inlineStr">
        <is>
          <t>Standard cobra una base (~$35) mas requests y datos. Premium (con firewall WAF) sube a ~$300+/mes.</t>
        </is>
      </c>
    </row>
    <row r="15" ht="32" customHeight="1">
      <c r="B15" s="36" t="inlineStr">
        <is>
          <t>Modo de red 'max'</t>
        </is>
      </c>
      <c r="C15" s="31" t="inlineStr">
        <is>
          <t>Si se exige aislamiento total, se agregan Private Endpoints (~$7/mes cada uno) y mas zonas DNS. Sube el total.</t>
        </is>
      </c>
    </row>
    <row r="16" ht="32" customHeight="1">
      <c r="B16" s="35" t="inlineStr">
        <is>
          <t>Media privada (Premium)</t>
        </is>
      </c>
      <c r="C16" s="27" t="inlineStr">
        <is>
          <t>Servir archivos de forma privada usa Front Door Premium + storage privado: agrega varios cientos de USD/mes.</t>
        </is>
      </c>
    </row>
    <row r="17" ht="32" customHeight="1">
      <c r="B17" s="36" t="inlineStr">
        <is>
          <t>Impuestos y tipo de cambio</t>
        </is>
      </c>
      <c r="C17" s="31" t="inlineStr">
        <is>
          <t>Los precios son sin IVA y en USD. Para el costo final en pesos, sumar IVA y el tipo de cambio del mes.</t>
        </is>
      </c>
    </row>
    <row r="18" ht="32" customHeight="1">
      <c r="B18" s="35" t="inlineStr">
        <is>
          <t>Region Mexico Central</t>
        </is>
      </c>
      <c r="C18" s="27" t="inlineStr">
        <is>
          <t>Los precios pueden variar ligeramente frente a regiones de EE.UU. Confirmar en la calculadora de Azure para el numero exacto.</t>
        </is>
      </c>
    </row>
    <row r="19" ht="32" customHeight="1">
      <c r="B19" s="36" t="inlineStr">
        <is>
          <t>Lo que NO cuesta extra</t>
        </is>
      </c>
      <c r="C19" s="31" t="inlineStr">
        <is>
          <t>Red privada (VNet), identidades y certificados HTTPS vienen incluidos en el diseno.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2026-06-22T18:34:44Z</dcterms:created>
  <dcterms:modified xmlns:dcterms="http://purl.org/dc/terms/" xmlns:xsi="http://www.w3.org/2001/XMLSchema-instance" xsi:type="dcterms:W3CDTF">2026-06-22T18:34:44Z</dcterms:modified>
</cp:coreProperties>
</file>